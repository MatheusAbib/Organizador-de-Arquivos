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0f350c6d568c5dd/Documentos/"/>
    </mc:Choice>
  </mc:AlternateContent>
  <xr:revisionPtr revIDLastSave="0" documentId="8_{682BC238-B5E4-4202-9A94-4EC1049C2E26}" xr6:coauthVersionLast="47" xr6:coauthVersionMax="47" xr10:uidLastSave="{00000000-0000-0000-0000-000000000000}"/>
  <bookViews>
    <workbookView xWindow="-108" yWindow="-108" windowWidth="23256" windowHeight="12456" xr2:uid="{51001CAF-B94E-48C3-81BE-1792B0FB1449}"/>
  </bookViews>
  <sheets>
    <sheet name="Planilh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8" i="1" l="1"/>
  <c r="AB20" i="1"/>
  <c r="AB19" i="1"/>
  <c r="Y24" i="1" a="1"/>
  <c r="Y24" i="1" s="1"/>
  <c r="G9" i="1"/>
  <c r="G10" i="1"/>
  <c r="G11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<sst xmlns="http://schemas.openxmlformats.org/spreadsheetml/2006/main" count="35" uniqueCount="32">
  <si>
    <t>Y</t>
  </si>
  <si>
    <t>X</t>
  </si>
  <si>
    <t>No Excel, você pode usar a função "LINREG" para calcular a regressão linear e obter o coeficiente de correlação linear. Aqui estão os passos básicos:</t>
  </si>
  <si>
    <r>
      <rPr>
        <sz val="10"/>
        <color theme="1"/>
        <rFont val="Segoe UI"/>
        <family val="2"/>
      </rPr>
      <t>O coeficiente de correlação linear de Pearson (</t>
    </r>
    <r>
      <rPr>
        <sz val="13.3"/>
        <color theme="1"/>
        <rFont val="Times New Roman"/>
        <family val="1"/>
      </rPr>
      <t>�</t>
    </r>
    <r>
      <rPr>
        <i/>
        <sz val="13.3"/>
        <color theme="1"/>
        <rFont val="KaTeX_Math"/>
      </rPr>
      <t>r</t>
    </r>
    <r>
      <rPr>
        <sz val="10"/>
        <color theme="1"/>
        <rFont val="Segoe UI"/>
        <family val="2"/>
      </rPr>
      <t>) mede a força e a direção da relação linear entre duas variáveis. Ele varia de -1 a 1, onde:</t>
    </r>
  </si>
  <si>
    <t>num_s = tentivas bem sucedidas</t>
  </si>
  <si>
    <r>
      <rPr>
        <i/>
        <sz val="13.3"/>
        <color theme="1"/>
        <rFont val="KaTeX_Math"/>
      </rPr>
      <t>r</t>
    </r>
    <r>
      <rPr>
        <sz val="13.3"/>
        <color theme="1"/>
        <rFont val="Times New Roman"/>
        <family val="1"/>
      </rPr>
      <t>=1</t>
    </r>
    <r>
      <rPr>
        <sz val="10"/>
        <color theme="1"/>
        <rFont val="Segoe UI"/>
        <family val="2"/>
      </rPr>
      <t xml:space="preserve"> indica uma correlação linear positiva perfeita,</t>
    </r>
  </si>
  <si>
    <r>
      <rPr>
        <i/>
        <sz val="13.3"/>
        <color theme="1"/>
        <rFont val="KaTeX_Math"/>
      </rPr>
      <t>r</t>
    </r>
    <r>
      <rPr>
        <sz val="13.3"/>
        <color theme="1"/>
        <rFont val="Times New Roman"/>
        <family val="1"/>
      </rPr>
      <t>=−1</t>
    </r>
    <r>
      <rPr>
        <sz val="10"/>
        <color theme="1"/>
        <rFont val="Segoe UI"/>
        <family val="2"/>
      </rPr>
      <t xml:space="preserve"> indica uma correlação linear negativa perfeita, e</t>
    </r>
  </si>
  <si>
    <r>
      <rPr>
        <i/>
        <sz val="13.3"/>
        <color theme="1"/>
        <rFont val="KaTeX_Math"/>
      </rPr>
      <t>r</t>
    </r>
    <r>
      <rPr>
        <sz val="13.3"/>
        <color theme="1"/>
        <rFont val="Times New Roman"/>
        <family val="1"/>
      </rPr>
      <t>=0</t>
    </r>
    <r>
      <rPr>
        <sz val="10"/>
        <color theme="1"/>
        <rFont val="Segoe UI"/>
        <family val="2"/>
      </rPr>
      <t xml:space="preserve"> indica ausência de correlação linear.</t>
    </r>
  </si>
  <si>
    <t>r=</t>
  </si>
  <si>
    <r>
      <t xml:space="preserve">Digite a seguinte fórmula em outra célula: </t>
    </r>
    <r>
      <rPr>
        <sz val="9.6"/>
        <color theme="1"/>
        <rFont val="Courier New"/>
        <family val="3"/>
      </rPr>
      <t>=TESTET(A2:A15, B2:B15, 2, 1)</t>
    </r>
    <r>
      <rPr>
        <sz val="10"/>
        <color theme="1"/>
        <rFont val="Segoe UI"/>
        <family val="2"/>
      </rPr>
      <t>. Esta fórmula realiza um teste t bilateral (2 representa um teste bilateral, e 1 indica uma significância de 5%).</t>
    </r>
  </si>
  <si>
    <t>=CORREL(A1:A10, B1:B10) * SQRT((n-2)/(1-CORREL(A1:A10, B1:B10)^2))</t>
  </si>
  <si>
    <t>O valor p obtido com a função TESTET indica a probabilidade de obter um coeficiente de correlação tão extremo (ou mais extremo) por acaso, assumindo que não há verdadeira correlação. Se o valor p for menor que 0,05 (ou 5%), você pode rejeitar a hipótese nula e concluir que a correlação é significativa.</t>
  </si>
  <si>
    <t>=CORREL(A2:A100, B2:B100)^2" calculo do coeficiente de determinaçao (r2)</t>
  </si>
  <si>
    <t>x</t>
  </si>
  <si>
    <t>y</t>
  </si>
  <si>
    <t>Tabela normal</t>
  </si>
  <si>
    <t>poisson</t>
  </si>
  <si>
    <t>5)</t>
  </si>
  <si>
    <t>x= quantidade de tentativas</t>
  </si>
  <si>
    <t>media= lambida</t>
  </si>
  <si>
    <t xml:space="preserve">cumulativo= 1 verdadeiro, 0 falso </t>
  </si>
  <si>
    <t>quando der um maximo = verdsdeiro</t>
  </si>
  <si>
    <t>quando der um numero = falso</t>
  </si>
  <si>
    <t xml:space="preserve">a= relaçao entre o custo total e a produçao </t>
  </si>
  <si>
    <t>b= custo fixo</t>
  </si>
  <si>
    <t>y = x + b</t>
  </si>
  <si>
    <t>Y=reta de regressao</t>
  </si>
  <si>
    <t>dado destoando= (3,20)</t>
  </si>
  <si>
    <t>para calcular correlaçao =</t>
  </si>
  <si>
    <t>X é primeiro</t>
  </si>
  <si>
    <t>t</t>
  </si>
  <si>
    <t>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</si>
</sst>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.000_-;\-* #,##0.000_-;_-* &quot;-&quot;??_-;_-@_-"/>
  </numFmts>
  <fonts count="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Segoe UI"/>
      <family val="2"/>
    </font>
    <font>
      <sz val="10"/>
      <color rgb="FFD1D5DB"/>
      <name val="Segoe UI"/>
      <family val="2"/>
    </font>
    <font>
      <sz val="9.6"/>
      <color theme="1"/>
      <name val="Courier New"/>
      <family val="3"/>
    </font>
    <font>
      <sz val="13.3"/>
      <color theme="1"/>
      <name val="Times New Roman"/>
      <family val="1"/>
    </font>
    <font>
      <i/>
      <sz val="13.3"/>
      <color theme="1"/>
      <name val="KaTeX_Math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0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3" fillId="0" borderId="0" xfId="0" applyFont="1"/>
    <xf numFmtId="0" fontId="2" fillId="0" borderId="0" xfId="0" applyFont="1"/>
    <xf numFmtId="0" fontId="0" fillId="0" borderId="0" xfId="0" quotePrefix="1"/>
    <xf numFmtId="164" fontId="0" fillId="0" borderId="0" xfId="1" applyNumberFormat="1" applyFont="1"/>
    <xf numFmtId="0" fontId="2" fillId="0" borderId="0" xfId="0" applyFont="1" applyAlignment="1">
      <alignment horizontal="left" vertical="center" indent="1"/>
    </xf>
    <xf numFmtId="0" fontId="2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 indent="1"/>
    </xf>
    <xf numFmtId="0" fontId="2" fillId="0" borderId="0" xfId="0" quotePrefix="1" applyFont="1"/>
    <xf numFmtId="0" fontId="0" fillId="0" borderId="7" xfId="0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9.3136482939632545E-2"/>
          <c:y val="0.19486111111111112"/>
          <c:w val="0.87753018372703417"/>
          <c:h val="0.72088764946048411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</c:trendlineLbl>
          </c:trendline>
          <c:yVal>
            <c:numRef>
              <c:f>Planilha1!$D$4:$D$21</c:f>
              <c:numCache>
                <c:formatCode>General</c:formatCode>
                <c:ptCount val="18"/>
                <c:pt idx="0">
                  <c:v>100</c:v>
                </c:pt>
                <c:pt idx="1">
                  <c:v>116</c:v>
                </c:pt>
                <c:pt idx="2">
                  <c:v>97</c:v>
                </c:pt>
                <c:pt idx="3">
                  <c:v>105</c:v>
                </c:pt>
                <c:pt idx="4">
                  <c:v>100</c:v>
                </c:pt>
                <c:pt idx="5">
                  <c:v>87</c:v>
                </c:pt>
                <c:pt idx="6">
                  <c:v>80</c:v>
                </c:pt>
                <c:pt idx="7">
                  <c:v>76</c:v>
                </c:pt>
                <c:pt idx="8">
                  <c:v>91</c:v>
                </c:pt>
                <c:pt idx="9">
                  <c:v>84</c:v>
                </c:pt>
                <c:pt idx="10">
                  <c:v>68</c:v>
                </c:pt>
                <c:pt idx="11">
                  <c:v>78</c:v>
                </c:pt>
                <c:pt idx="12">
                  <c:v>78</c:v>
                </c:pt>
                <c:pt idx="13">
                  <c:v>82</c:v>
                </c:pt>
                <c:pt idx="14">
                  <c:v>73</c:v>
                </c:pt>
                <c:pt idx="15">
                  <c:v>73</c:v>
                </c:pt>
                <c:pt idx="16">
                  <c:v>65</c:v>
                </c:pt>
                <c:pt idx="17">
                  <c:v>77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B31-46B8-B640-6C37F6DB23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97995536"/>
        <c:axId val="1895482976"/>
      </c:scatterChart>
      <c:valAx>
        <c:axId val="18979955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895482976"/>
        <c:crosses val="autoZero"/>
        <c:crossBetween val="midCat"/>
      </c:valAx>
      <c:valAx>
        <c:axId val="18954829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8979955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4877956307385499"/>
          <c:y val="5.89814956721300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#,##0.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</c:trendlineLbl>
          </c:trendline>
          <c:xVal>
            <c:numRef>
              <c:f>Planilha1!$D$4:$D$21</c:f>
              <c:numCache>
                <c:formatCode>General</c:formatCode>
                <c:ptCount val="18"/>
                <c:pt idx="0">
                  <c:v>100</c:v>
                </c:pt>
                <c:pt idx="1">
                  <c:v>116</c:v>
                </c:pt>
                <c:pt idx="2">
                  <c:v>97</c:v>
                </c:pt>
                <c:pt idx="3">
                  <c:v>105</c:v>
                </c:pt>
                <c:pt idx="4">
                  <c:v>100</c:v>
                </c:pt>
                <c:pt idx="5">
                  <c:v>87</c:v>
                </c:pt>
                <c:pt idx="6">
                  <c:v>80</c:v>
                </c:pt>
                <c:pt idx="7">
                  <c:v>76</c:v>
                </c:pt>
                <c:pt idx="8">
                  <c:v>91</c:v>
                </c:pt>
                <c:pt idx="9">
                  <c:v>84</c:v>
                </c:pt>
                <c:pt idx="10">
                  <c:v>68</c:v>
                </c:pt>
                <c:pt idx="11">
                  <c:v>78</c:v>
                </c:pt>
                <c:pt idx="12">
                  <c:v>78</c:v>
                </c:pt>
                <c:pt idx="13">
                  <c:v>82</c:v>
                </c:pt>
                <c:pt idx="14">
                  <c:v>73</c:v>
                </c:pt>
                <c:pt idx="15">
                  <c:v>73</c:v>
                </c:pt>
                <c:pt idx="16">
                  <c:v>65</c:v>
                </c:pt>
                <c:pt idx="17">
                  <c:v>77</c:v>
                </c:pt>
              </c:numCache>
            </c:numRef>
          </c:xVal>
          <c:yVal>
            <c:numRef>
              <c:f>Planilha1!$E$4:$E$21</c:f>
              <c:numCache>
                <c:formatCode>General</c:formatCode>
                <c:ptCount val="18"/>
                <c:pt idx="0">
                  <c:v>43</c:v>
                </c:pt>
                <c:pt idx="1">
                  <c:v>45</c:v>
                </c:pt>
                <c:pt idx="2">
                  <c:v>45</c:v>
                </c:pt>
                <c:pt idx="3">
                  <c:v>49</c:v>
                </c:pt>
                <c:pt idx="4">
                  <c:v>53</c:v>
                </c:pt>
                <c:pt idx="5">
                  <c:v>56</c:v>
                </c:pt>
                <c:pt idx="6">
                  <c:v>56</c:v>
                </c:pt>
                <c:pt idx="7">
                  <c:v>58</c:v>
                </c:pt>
                <c:pt idx="8">
                  <c:v>64</c:v>
                </c:pt>
                <c:pt idx="9">
                  <c:v>65</c:v>
                </c:pt>
                <c:pt idx="10">
                  <c:v>67</c:v>
                </c:pt>
                <c:pt idx="11">
                  <c:v>68</c:v>
                </c:pt>
                <c:pt idx="12">
                  <c:v>68</c:v>
                </c:pt>
                <c:pt idx="13">
                  <c:v>71</c:v>
                </c:pt>
                <c:pt idx="14">
                  <c:v>73</c:v>
                </c:pt>
                <c:pt idx="15">
                  <c:v>73</c:v>
                </c:pt>
                <c:pt idx="16">
                  <c:v>76</c:v>
                </c:pt>
                <c:pt idx="17">
                  <c:v>78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DB7-4A6C-AF38-4895295845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42118992"/>
        <c:axId val="2103959088"/>
      </c:scatterChart>
      <c:valAx>
        <c:axId val="9421189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103959088"/>
        <c:crosses val="autoZero"/>
        <c:crossBetween val="midCat"/>
      </c:valAx>
      <c:valAx>
        <c:axId val="21039590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421189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3.8797462817147854E-2"/>
                  <c:y val="0.20888597258675998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</c:trendlineLbl>
          </c:trendline>
          <c:xVal>
            <c:numRef>
              <c:f>Planilha1!$K$44:$Y$44</c:f>
              <c:numCache>
                <c:formatCode>General</c:formatCode>
                <c:ptCount val="15"/>
                <c:pt idx="0">
                  <c:v>8</c:v>
                </c:pt>
                <c:pt idx="1">
                  <c:v>9</c:v>
                </c:pt>
                <c:pt idx="2">
                  <c:v>7</c:v>
                </c:pt>
                <c:pt idx="3">
                  <c:v>8</c:v>
                </c:pt>
                <c:pt idx="4">
                  <c:v>6</c:v>
                </c:pt>
                <c:pt idx="5">
                  <c:v>8</c:v>
                </c:pt>
                <c:pt idx="6">
                  <c:v>5</c:v>
                </c:pt>
                <c:pt idx="7">
                  <c:v>5</c:v>
                </c:pt>
                <c:pt idx="8">
                  <c:v>6</c:v>
                </c:pt>
                <c:pt idx="9">
                  <c:v>7</c:v>
                </c:pt>
                <c:pt idx="10">
                  <c:v>4</c:v>
                </c:pt>
                <c:pt idx="11">
                  <c:v>7</c:v>
                </c:pt>
                <c:pt idx="12">
                  <c:v>3</c:v>
                </c:pt>
                <c:pt idx="13">
                  <c:v>5</c:v>
                </c:pt>
                <c:pt idx="14">
                  <c:v>3</c:v>
                </c:pt>
              </c:numCache>
            </c:numRef>
          </c:xVal>
          <c:yVal>
            <c:numRef>
              <c:f>Planilha1!$K$45:$Y$45</c:f>
              <c:numCache>
                <c:formatCode>General</c:formatCode>
                <c:ptCount val="15"/>
                <c:pt idx="0">
                  <c:v>14</c:v>
                </c:pt>
                <c:pt idx="1">
                  <c:v>13</c:v>
                </c:pt>
                <c:pt idx="2">
                  <c:v>12</c:v>
                </c:pt>
                <c:pt idx="3">
                  <c:v>13</c:v>
                </c:pt>
                <c:pt idx="4">
                  <c:v>10</c:v>
                </c:pt>
                <c:pt idx="5">
                  <c:v>12</c:v>
                </c:pt>
                <c:pt idx="6">
                  <c:v>11</c:v>
                </c:pt>
                <c:pt idx="7">
                  <c:v>11</c:v>
                </c:pt>
                <c:pt idx="8">
                  <c:v>10</c:v>
                </c:pt>
                <c:pt idx="9">
                  <c:v>12</c:v>
                </c:pt>
                <c:pt idx="10">
                  <c:v>10</c:v>
                </c:pt>
                <c:pt idx="11">
                  <c:v>13</c:v>
                </c:pt>
                <c:pt idx="12">
                  <c:v>20</c:v>
                </c:pt>
                <c:pt idx="13">
                  <c:v>12</c:v>
                </c:pt>
                <c:pt idx="14">
                  <c:v>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4F5-4EF7-95CF-C98BA9DAF1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42160752"/>
        <c:axId val="1432352240"/>
      </c:scatterChart>
      <c:valAx>
        <c:axId val="9421607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32352240"/>
        <c:crosses val="autoZero"/>
        <c:crossBetween val="midCat"/>
      </c:valAx>
      <c:valAx>
        <c:axId val="1432352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421607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</c:trendlineLbl>
          </c:trendline>
          <c:xVal>
            <c:numRef>
              <c:f>Planilha1!$AD$20:$AD$24</c:f>
              <c:numCache>
                <c:formatCode>General</c:formatCode>
                <c:ptCount val="5"/>
                <c:pt idx="0">
                  <c:v>12</c:v>
                </c:pt>
                <c:pt idx="1">
                  <c:v>4</c:v>
                </c:pt>
                <c:pt idx="2">
                  <c:v>6</c:v>
                </c:pt>
                <c:pt idx="3">
                  <c:v>11</c:v>
                </c:pt>
                <c:pt idx="4">
                  <c:v>8</c:v>
                </c:pt>
              </c:numCache>
            </c:numRef>
          </c:xVal>
          <c:yVal>
            <c:numRef>
              <c:f>Planilha1!$AE$20:$AE$24</c:f>
              <c:numCache>
                <c:formatCode>General</c:formatCode>
                <c:ptCount val="5"/>
                <c:pt idx="0">
                  <c:v>80</c:v>
                </c:pt>
                <c:pt idx="1">
                  <c:v>44</c:v>
                </c:pt>
                <c:pt idx="2">
                  <c:v>51</c:v>
                </c:pt>
                <c:pt idx="3">
                  <c:v>70</c:v>
                </c:pt>
                <c:pt idx="4">
                  <c:v>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E44-47DE-AF47-40638D7664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98002256"/>
        <c:axId val="419398784"/>
      </c:scatterChart>
      <c:valAx>
        <c:axId val="18980022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19398784"/>
        <c:crosses val="autoZero"/>
        <c:crossBetween val="midCat"/>
      </c:valAx>
      <c:valAx>
        <c:axId val="4193987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8980022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1207070</xdr:colOff>
      <xdr:row>15</xdr:row>
      <xdr:rowOff>57150</xdr:rowOff>
    </xdr:from>
    <xdr:to>
      <xdr:col>8</xdr:col>
      <xdr:colOff>5779070</xdr:colOff>
      <xdr:row>30</xdr:row>
      <xdr:rowOff>49530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9B8E5B2-9365-5BCA-6837-418879CE3B7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44009</xdr:colOff>
      <xdr:row>22</xdr:row>
      <xdr:rowOff>77989</xdr:rowOff>
    </xdr:from>
    <xdr:to>
      <xdr:col>8</xdr:col>
      <xdr:colOff>112589</xdr:colOff>
      <xdr:row>37</xdr:row>
      <xdr:rowOff>77988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85B67C94-4917-EAD8-3109-6E2E9383CDF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342122</xdr:colOff>
      <xdr:row>24</xdr:row>
      <xdr:rowOff>31879</xdr:rowOff>
    </xdr:from>
    <xdr:to>
      <xdr:col>22</xdr:col>
      <xdr:colOff>62204</xdr:colOff>
      <xdr:row>38</xdr:row>
      <xdr:rowOff>162508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A81B2A4A-5759-32C3-0917-43D9DDB5A3F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35</xdr:col>
      <xdr:colOff>202301</xdr:colOff>
      <xdr:row>19</xdr:row>
      <xdr:rowOff>61365</xdr:rowOff>
    </xdr:from>
    <xdr:to>
      <xdr:col>42</xdr:col>
      <xdr:colOff>525982</xdr:colOff>
      <xdr:row>34</xdr:row>
      <xdr:rowOff>73503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6B86834F-EF21-ADE2-0AC2-055234FB405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50B667-AF20-4E48-9580-11C69403139E}">
  <dimension ref="B3:AE46"/>
  <sheetViews>
    <sheetView tabSelected="1" topLeftCell="I20" zoomScale="113" workbookViewId="0">
      <selection activeCell="N39" sqref="N39"/>
    </sheetView>
  </sheetViews>
  <sheetFormatPr defaultRowHeight="14.45"/>
  <cols>
    <col min="8" max="8" width="12.28515625" customWidth="1"/>
    <col min="9" max="9" width="166.5703125" customWidth="1"/>
    <col min="11" max="11" width="21.7109375" customWidth="1"/>
  </cols>
  <sheetData>
    <row r="3" spans="4:16" ht="15">
      <c r="D3" s="5" t="s">
        <v>0</v>
      </c>
      <c r="E3" s="6" t="s">
        <v>1</v>
      </c>
      <c r="I3" s="8" t="s">
        <v>2</v>
      </c>
    </row>
    <row r="4" spans="4:16" ht="17.45">
      <c r="D4" s="1">
        <v>100</v>
      </c>
      <c r="E4" s="2">
        <v>43</v>
      </c>
      <c r="I4" s="12" t="s">
        <v>3</v>
      </c>
      <c r="P4" t="s">
        <v>4</v>
      </c>
    </row>
    <row r="5" spans="4:16" ht="17.45">
      <c r="D5" s="1">
        <v>116</v>
      </c>
      <c r="E5" s="2">
        <v>45</v>
      </c>
      <c r="I5" s="13" t="s">
        <v>5</v>
      </c>
    </row>
    <row r="6" spans="4:16" ht="17.45">
      <c r="D6" s="1">
        <v>97</v>
      </c>
      <c r="E6" s="2">
        <v>45</v>
      </c>
      <c r="I6" s="13" t="s">
        <v>6</v>
      </c>
    </row>
    <row r="7" spans="4:16" ht="17.45">
      <c r="D7" s="1">
        <v>105</v>
      </c>
      <c r="E7" s="2">
        <v>49</v>
      </c>
      <c r="I7" s="13" t="s">
        <v>7</v>
      </c>
    </row>
    <row r="8" spans="4:16">
      <c r="D8" s="1">
        <v>100</v>
      </c>
      <c r="E8" s="2">
        <v>53</v>
      </c>
    </row>
    <row r="9" spans="4:16">
      <c r="D9" s="1">
        <v>87</v>
      </c>
      <c r="E9" s="2">
        <v>56</v>
      </c>
      <c r="F9" t="s">
        <v>8</v>
      </c>
      <c r="G9" s="10">
        <f>CORREL(D3:D21,E3:E21)</f>
        <v>-0.83667662926459629</v>
      </c>
    </row>
    <row r="10" spans="4:16">
      <c r="D10" s="1">
        <v>80</v>
      </c>
      <c r="E10" s="2">
        <v>56</v>
      </c>
      <c r="G10" s="10">
        <f>SLOPE(D3:D21,E3:E21)</f>
        <v>-1.0266652939359617</v>
      </c>
    </row>
    <row r="11" spans="4:16" ht="15">
      <c r="D11" s="1">
        <v>76</v>
      </c>
      <c r="E11" s="2">
        <v>58</v>
      </c>
      <c r="G11">
        <f>INTERCEPT(D3:D21,E3:E21)</f>
        <v>148.19695253783587</v>
      </c>
      <c r="I11" s="11" t="s">
        <v>9</v>
      </c>
      <c r="J11" s="9" t="s">
        <v>10</v>
      </c>
    </row>
    <row r="12" spans="4:16" ht="15">
      <c r="D12" s="1">
        <v>91</v>
      </c>
      <c r="E12" s="2">
        <v>64</v>
      </c>
      <c r="I12" s="8" t="s">
        <v>11</v>
      </c>
    </row>
    <row r="13" spans="4:16" ht="15">
      <c r="D13" s="1">
        <v>84</v>
      </c>
      <c r="E13" s="2">
        <v>65</v>
      </c>
      <c r="I13" s="14" t="s">
        <v>12</v>
      </c>
    </row>
    <row r="14" spans="4:16" ht="15">
      <c r="D14" s="1">
        <v>68</v>
      </c>
      <c r="E14" s="2">
        <v>67</v>
      </c>
      <c r="I14" s="7"/>
    </row>
    <row r="15" spans="4:16" ht="15">
      <c r="D15" s="1">
        <v>78</v>
      </c>
      <c r="E15" s="2">
        <v>68</v>
      </c>
      <c r="I15" s="7"/>
    </row>
    <row r="16" spans="4:16" ht="15">
      <c r="D16" s="1">
        <v>78</v>
      </c>
      <c r="E16" s="2">
        <v>68</v>
      </c>
      <c r="I16" s="7"/>
    </row>
    <row r="17" spans="2:31">
      <c r="D17" s="1">
        <v>82</v>
      </c>
      <c r="E17" s="2">
        <v>71</v>
      </c>
    </row>
    <row r="18" spans="2:31" ht="15" thickBot="1">
      <c r="D18" s="1">
        <v>73</v>
      </c>
      <c r="E18" s="2">
        <v>73</v>
      </c>
    </row>
    <row r="19" spans="2:31" ht="15" thickBot="1">
      <c r="D19" s="1">
        <v>73</v>
      </c>
      <c r="E19" s="2">
        <v>73</v>
      </c>
      <c r="AB19">
        <f>_xlfn.POISSON.DIST(2,2.4,0)</f>
        <v>0.26126770547350808</v>
      </c>
      <c r="AD19" s="18" t="s">
        <v>13</v>
      </c>
      <c r="AE19" s="19" t="s">
        <v>14</v>
      </c>
    </row>
    <row r="20" spans="2:31">
      <c r="D20" s="1">
        <v>65</v>
      </c>
      <c r="E20" s="2">
        <v>76</v>
      </c>
      <c r="AB20">
        <f>_xlfn.POISSON.DIST(3,2.4,1)</f>
        <v>0.77872291103631697</v>
      </c>
      <c r="AD20" s="17">
        <v>12</v>
      </c>
      <c r="AE20" s="17">
        <v>80</v>
      </c>
    </row>
    <row r="21" spans="2:31">
      <c r="D21" s="3">
        <v>77</v>
      </c>
      <c r="E21" s="4">
        <v>78</v>
      </c>
      <c r="AD21" s="16">
        <v>4</v>
      </c>
      <c r="AE21" s="16">
        <v>44</v>
      </c>
    </row>
    <row r="22" spans="2:31">
      <c r="I22" t="s">
        <v>15</v>
      </c>
      <c r="AD22" s="16">
        <v>6</v>
      </c>
      <c r="AE22" s="16">
        <v>51</v>
      </c>
    </row>
    <row r="23" spans="2:31">
      <c r="Y23" t="s">
        <v>16</v>
      </c>
      <c r="AD23" s="16">
        <v>11</v>
      </c>
      <c r="AE23" s="16">
        <v>70</v>
      </c>
    </row>
    <row r="24" spans="2:31">
      <c r="B24" s="9"/>
      <c r="C24" s="9"/>
      <c r="Y24" t="e" cm="1">
        <f t="array" ref="Y24">dist.poisson</f>
        <v>#NAME?</v>
      </c>
      <c r="AD24" s="16">
        <v>8</v>
      </c>
      <c r="AE24" s="16">
        <v>61</v>
      </c>
    </row>
    <row r="25" spans="2:31">
      <c r="K25" t="s">
        <v>17</v>
      </c>
    </row>
    <row r="26" spans="2:31">
      <c r="Y26" t="s">
        <v>18</v>
      </c>
    </row>
    <row r="27" spans="2:31">
      <c r="Y27" t="s">
        <v>19</v>
      </c>
    </row>
    <row r="28" spans="2:31">
      <c r="Y28" t="s">
        <v>20</v>
      </c>
    </row>
    <row r="29" spans="2:31">
      <c r="B29" s="9"/>
      <c r="Y29" t="s">
        <v>21</v>
      </c>
    </row>
    <row r="30" spans="2:31">
      <c r="Y30" t="s">
        <v>22</v>
      </c>
    </row>
    <row r="32" spans="2:31">
      <c r="K32" t="s">
        <v>23</v>
      </c>
    </row>
    <row r="33" spans="3:25">
      <c r="K33" t="s">
        <v>24</v>
      </c>
    </row>
    <row r="34" spans="3:25">
      <c r="K34" t="s">
        <v>25</v>
      </c>
    </row>
    <row r="35" spans="3:25">
      <c r="K35" t="s">
        <v>26</v>
      </c>
    </row>
    <row r="36" spans="3:25">
      <c r="K36" t="s">
        <v>27</v>
      </c>
    </row>
    <row r="38" spans="3:25">
      <c r="K38" t="s">
        <v>28</v>
      </c>
      <c r="L38">
        <f>SQRT(0.0067)</f>
        <v>8.1853527718724506E-2</v>
      </c>
    </row>
    <row r="41" spans="3:25">
      <c r="C41" t="s">
        <v>17</v>
      </c>
    </row>
    <row r="42" spans="3:25">
      <c r="J42" t="s">
        <v>29</v>
      </c>
    </row>
    <row r="43" spans="3:25">
      <c r="J43" t="s">
        <v>13</v>
      </c>
    </row>
    <row r="44" spans="3:25">
      <c r="J44" s="15" t="s">
        <v>30</v>
      </c>
      <c r="K44" s="15">
        <v>8</v>
      </c>
      <c r="L44" s="15">
        <v>9</v>
      </c>
      <c r="M44" s="15">
        <v>7</v>
      </c>
      <c r="N44" s="15">
        <v>8</v>
      </c>
      <c r="O44" s="15">
        <v>6</v>
      </c>
      <c r="P44" s="15">
        <v>8</v>
      </c>
      <c r="Q44" s="15">
        <v>5</v>
      </c>
      <c r="R44" s="15">
        <v>5</v>
      </c>
      <c r="S44" s="15">
        <v>6</v>
      </c>
      <c r="T44" s="15">
        <v>7</v>
      </c>
      <c r="U44" s="15">
        <v>4</v>
      </c>
      <c r="V44" s="15">
        <v>7</v>
      </c>
      <c r="W44" s="15">
        <v>3</v>
      </c>
      <c r="X44" s="15">
        <v>5</v>
      </c>
      <c r="Y44" s="15">
        <v>3</v>
      </c>
    </row>
    <row r="45" spans="3:25">
      <c r="J45" s="15" t="s">
        <v>31</v>
      </c>
      <c r="K45" s="15">
        <v>14</v>
      </c>
      <c r="L45" s="15">
        <v>13</v>
      </c>
      <c r="M45" s="15">
        <v>12</v>
      </c>
      <c r="N45" s="15">
        <v>13</v>
      </c>
      <c r="O45" s="15">
        <v>10</v>
      </c>
      <c r="P45" s="15">
        <v>12</v>
      </c>
      <c r="Q45" s="15">
        <v>11</v>
      </c>
      <c r="R45" s="15">
        <v>11</v>
      </c>
      <c r="S45" s="15">
        <v>10</v>
      </c>
      <c r="T45" s="15">
        <v>12</v>
      </c>
      <c r="U45" s="15">
        <v>10</v>
      </c>
      <c r="V45" s="15">
        <v>13</v>
      </c>
      <c r="W45" s="15">
        <v>20</v>
      </c>
      <c r="X45" s="15">
        <v>12</v>
      </c>
      <c r="Y45" s="15">
        <v>11</v>
      </c>
    </row>
    <row r="46" spans="3:25">
      <c r="J46" t="s">
        <v>14</v>
      </c>
    </row>
  </sheetData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matheus abib</dc:creator>
  <cp:keywords/>
  <dc:description/>
  <cp:lastModifiedBy/>
  <cp:revision/>
  <dcterms:created xsi:type="dcterms:W3CDTF">2023-11-28T21:01:55Z</dcterms:created>
  <dcterms:modified xsi:type="dcterms:W3CDTF">2026-03-19T14:41:29Z</dcterms:modified>
  <cp:category/>
  <cp:contentStatus/>
</cp:coreProperties>
</file>